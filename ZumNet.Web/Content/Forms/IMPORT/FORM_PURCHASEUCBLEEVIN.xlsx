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65" windowWidth="16155" windowHeight="1198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F3" i="1" l="1"/>
  <c r="I3" i="1" s="1"/>
  <c r="F2" i="1"/>
  <c r="I2" i="1" s="1"/>
  <c r="G2" i="1" l="1"/>
  <c r="G3" i="1"/>
</calcChain>
</file>

<file path=xl/sharedStrings.xml><?xml version="1.0" encoding="utf-8"?>
<sst xmlns="http://schemas.openxmlformats.org/spreadsheetml/2006/main" count="24" uniqueCount="24">
  <si>
    <t>품번</t>
    <phoneticPr fontId="18" type="noConversion"/>
  </si>
  <si>
    <t>현행가</t>
    <phoneticPr fontId="18" type="noConversion"/>
  </si>
  <si>
    <t>변경가</t>
    <phoneticPr fontId="18" type="noConversion"/>
  </si>
  <si>
    <t>변동액</t>
    <phoneticPr fontId="18" type="noConversion"/>
  </si>
  <si>
    <t>변동율</t>
    <phoneticPr fontId="18" type="noConversion"/>
  </si>
  <si>
    <t>소요량</t>
    <phoneticPr fontId="18" type="noConversion"/>
  </si>
  <si>
    <t>금액</t>
    <phoneticPr fontId="18" type="noConversion"/>
  </si>
  <si>
    <t>Pre L/T</t>
    <phoneticPr fontId="18" type="noConversion"/>
  </si>
  <si>
    <t>TTL L/T</t>
    <phoneticPr fontId="18" type="noConversion"/>
  </si>
  <si>
    <t>L/T</t>
    <phoneticPr fontId="18" type="noConversion"/>
  </si>
  <si>
    <t>Post L/T</t>
    <phoneticPr fontId="18" type="noConversion"/>
  </si>
  <si>
    <t>적용시점</t>
    <phoneticPr fontId="18" type="noConversion"/>
  </si>
  <si>
    <t>비고</t>
    <phoneticPr fontId="18" type="noConversion"/>
  </si>
  <si>
    <t>EMB-SSG731STWA</t>
    <phoneticPr fontId="18" type="noConversion"/>
  </si>
  <si>
    <t>EMB-SSG731STWA</t>
    <phoneticPr fontId="18" type="noConversion"/>
  </si>
  <si>
    <t>모델명</t>
    <phoneticPr fontId="18" type="noConversion"/>
  </si>
  <si>
    <t>품명</t>
    <phoneticPr fontId="18" type="noConversion"/>
  </si>
  <si>
    <t>CMK-0608ZNX-WA</t>
    <phoneticPr fontId="18" type="noConversion"/>
  </si>
  <si>
    <t>CMH-0473LUT-WA</t>
    <phoneticPr fontId="18" type="noConversion"/>
  </si>
  <si>
    <t>HOUSING L UV.UV 100%</t>
    <phoneticPr fontId="18" type="noConversion"/>
  </si>
  <si>
    <t xml:space="preserve">KNOB.제일모직 / HF-1023IM./ W9540 (WHITE) </t>
    <phoneticPr fontId="18" type="noConversion"/>
  </si>
  <si>
    <t>업체명</t>
    <phoneticPr fontId="18" type="noConversion"/>
  </si>
  <si>
    <t>삼성</t>
    <phoneticPr fontId="18" type="noConversion"/>
  </si>
  <si>
    <t>LG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</si>
</sst>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#,##0_);[Red]\(#,##0\)"/>
    <numFmt numFmtId="177" formatCode="#,##0.00000_);[Red]\(#,##0.00000\)"/>
    <numFmt numFmtId="178" formatCode="0.00_ "/>
    <numFmt numFmtId="179" formatCode="#,##0.00000_ ;[Red]\-#,##0.00000\ 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19" fillId="0" borderId="0" xfId="0" applyNumberFormat="1" applyFont="1">
      <alignment vertical="center"/>
    </xf>
    <xf numFmtId="49" fontId="20" fillId="0" borderId="0" xfId="0" applyNumberFormat="1" applyFont="1">
      <alignment vertical="center"/>
    </xf>
    <xf numFmtId="176" fontId="20" fillId="0" borderId="0" xfId="0" applyNumberFormat="1" applyFont="1">
      <alignment vertical="center"/>
    </xf>
    <xf numFmtId="14" fontId="20" fillId="0" borderId="0" xfId="0" applyNumberFormat="1" applyFont="1">
      <alignment vertical="center"/>
    </xf>
    <xf numFmtId="177" fontId="20" fillId="0" borderId="0" xfId="0" applyNumberFormat="1" applyFont="1">
      <alignment vertical="center"/>
    </xf>
    <xf numFmtId="178" fontId="20" fillId="0" borderId="0" xfId="0" applyNumberFormat="1" applyFont="1">
      <alignment vertical="center"/>
    </xf>
    <xf numFmtId="179" fontId="20" fillId="0" borderId="0" xfId="0" applyNumberFormat="1" applyFont="1">
      <alignment vertical="center"/>
    </xf>
    <xf numFmtId="49" fontId="20" fillId="0" borderId="0" xfId="0" applyNumberFormat="1" applyFont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tabSelected="1" topLeftCell="D1" workbookViewId="0">
      <selection activeCell="O9" sqref="O9"/>
    </sheetView>
  </sheetViews>
  <sheetFormatPr defaultRowHeight="13.5" x14ac:dyDescent="0.3"/>
  <cols>
    <col min="1" max="1" width="16.625" style="1" customWidth="1"/>
    <col min="2" max="2" width="37.625" style="1" customWidth="1"/>
    <col min="3" max="3" width="16.125" style="1" customWidth="1"/>
    <col min="4" max="4" width="12.5" style="1" customWidth="1"/>
    <col min="5" max="5" width="9.5" style="1" bestFit="1" customWidth="1"/>
    <col min="6" max="6" width="9" style="1"/>
    <col min="7" max="7" width="9.625" style="1" customWidth="1"/>
    <col min="8" max="10" width="11" style="1" bestFit="1" customWidth="1"/>
    <col min="11" max="14" width="9" style="1"/>
    <col min="15" max="15" width="11.125" style="1" bestFit="1" customWidth="1"/>
    <col min="16" max="16384" width="9" style="1"/>
  </cols>
  <sheetData>
    <row r="1" spans="1:16" x14ac:dyDescent="0.3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8</v>
      </c>
      <c r="K1" s="1" t="s">
        <v>7</v>
      </c>
      <c r="L1" s="1" t="s">
        <v>9</v>
      </c>
      <c r="M1" s="1" t="s">
        <v>10</v>
      </c>
      <c r="N1" s="1" t="s">
        <v>21</v>
      </c>
      <c r="O1" s="1" t="s">
        <v>11</v>
      </c>
      <c r="P1" s="1" t="s">
        <v>12</v>
      </c>
    </row>
    <row r="2" spans="1:16" x14ac:dyDescent="0.3">
      <c r="A2" s="2" t="s">
        <v>14</v>
      </c>
      <c r="B2" s="8" t="s">
        <v>20</v>
      </c>
      <c r="C2" s="1" t="s">
        <v>17</v>
      </c>
      <c r="D2" s="5">
        <v>4.512E-2</v>
      </c>
      <c r="E2" s="5">
        <v>4.4110000000000003E-2</v>
      </c>
      <c r="F2" s="7">
        <f>E2-D2</f>
        <v>-1.009999999999997E-3</v>
      </c>
      <c r="G2" s="6">
        <f>F2/D2*100</f>
        <v>-2.238475177304958</v>
      </c>
      <c r="H2" s="3">
        <v>1500</v>
      </c>
      <c r="I2" s="7">
        <f>H2*F2</f>
        <v>-1.5149999999999955</v>
      </c>
      <c r="J2" s="3">
        <v>10</v>
      </c>
      <c r="K2" s="3">
        <v>5</v>
      </c>
      <c r="L2" s="3">
        <v>4</v>
      </c>
      <c r="M2" s="3">
        <v>1</v>
      </c>
      <c r="N2" s="1" t="s">
        <v>22</v>
      </c>
      <c r="O2" s="4">
        <v>41740</v>
      </c>
    </row>
    <row r="3" spans="1:16" s="2" customFormat="1" x14ac:dyDescent="0.3">
      <c r="A3" s="2" t="s">
        <v>13</v>
      </c>
      <c r="B3" s="2" t="s">
        <v>19</v>
      </c>
      <c r="C3" s="2" t="s">
        <v>18</v>
      </c>
      <c r="D3" s="5">
        <v>0.13</v>
      </c>
      <c r="E3" s="5">
        <v>0.14276</v>
      </c>
      <c r="F3" s="5">
        <f>E3-D3</f>
        <v>1.2759999999999994E-2</v>
      </c>
      <c r="G3" s="6">
        <f>F3/D3*100</f>
        <v>9.8153846153846107</v>
      </c>
      <c r="H3" s="3">
        <v>1200</v>
      </c>
      <c r="I3" s="5">
        <f>H3*F3</f>
        <v>15.311999999999992</v>
      </c>
      <c r="J3" s="3">
        <v>10</v>
      </c>
      <c r="K3" s="3">
        <v>5</v>
      </c>
      <c r="L3" s="3">
        <v>4</v>
      </c>
      <c r="M3" s="3">
        <v>1</v>
      </c>
      <c r="N3" s="2" t="s">
        <v>23</v>
      </c>
      <c r="O3" s="4">
        <v>41740</v>
      </c>
    </row>
    <row r="4" spans="1:16" x14ac:dyDescent="0.3">
      <c r="G4" s="4"/>
    </row>
    <row r="5" spans="1:16" x14ac:dyDescent="0.3">
      <c r="G5" s="4"/>
    </row>
  </sheetData>
  <phoneticPr fontId="18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이병록</dc:creator>
  <cp:lastModifiedBy>프로세스관리팀 대리 김승재</cp:lastModifiedBy>
  <dcterms:created xsi:type="dcterms:W3CDTF">2012-11-21T06:27:12Z</dcterms:created>
  <dcterms:modified xsi:type="dcterms:W3CDTF">2014-08-01T07:45:05Z</dcterms:modified>
</cp:coreProperties>
</file>